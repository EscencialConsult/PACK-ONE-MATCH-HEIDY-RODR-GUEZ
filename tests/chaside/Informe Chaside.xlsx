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</sheets>
  <definedNames/>
  <calcPr/>
</workbook>
</file>

<file path=xl/sharedStrings.xml><?xml version="1.0" encoding="utf-8"?>
<sst xmlns="http://schemas.openxmlformats.org/spreadsheetml/2006/main" count="24" uniqueCount="14">
  <si>
    <t>Informe final</t>
  </si>
  <si>
    <t>Estado</t>
  </si>
  <si>
    <t>31127 caracteres HTML generados</t>
  </si>
  <si>
    <t>Enviado</t>
  </si>
  <si>
    <t>33814 caracteres HTML generados</t>
  </si>
  <si>
    <t>31778 caracteres HTML generados</t>
  </si>
  <si>
    <t>31130 caracteres HTML generados</t>
  </si>
  <si>
    <t>29800 caracteres HTML generados</t>
  </si>
  <si>
    <t>26772 caracteres HTML generados</t>
  </si>
  <si>
    <t>27547 caracteres HTML generados</t>
  </si>
  <si>
    <t>32942 caracteres HTML generados</t>
  </si>
  <si>
    <t>30282 caracteres HTML generados</t>
  </si>
  <si>
    <t>28058 caracteres HTML generados</t>
  </si>
  <si>
    <t>29126 caracteres HTML generados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</si>
</sst>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IFERROR(__xludf.DUMMYFUNCTION("IMPORTRANGE(""https://docs.google.com/spreadsheets/d/1sjtkF3cetoYfOO6FamKFczL0VViyeWZTPVSS-spyQFk/edit?gid=0#gid=0"", ""respuestas!A1:E5000"")"),"Fecha")</f>
        <v>Fecha</v>
      </c>
      <c r="B1" s="1" t="str">
        <f>IFERROR(__xludf.DUMMYFUNCTION("""COMPUTED_VALUE"""),"Nombre")</f>
        <v>Nombre</v>
      </c>
      <c r="C1" s="1" t="str">
        <f>IFERROR(__xludf.DUMMYFUNCTION("""COMPUTED_VALUE"""),"Apellido")</f>
        <v>Apellido</v>
      </c>
      <c r="D1" s="1" t="str">
        <f>IFERROR(__xludf.DUMMYFUNCTION("""COMPUTED_VALUE"""),"Email")</f>
        <v>Email</v>
      </c>
      <c r="E1" s="1" t="str">
        <f>IFERROR(__xludf.DUMMYFUNCTION("""COMPUTED_VALUE"""),"Respuestas")</f>
        <v>Respuestas</v>
      </c>
      <c r="F1" s="2" t="s">
        <v>0</v>
      </c>
      <c r="G1" s="2" t="s">
        <v>1</v>
      </c>
    </row>
    <row r="2">
      <c r="A2" s="3">
        <f>IFERROR(__xludf.DUMMYFUNCTION("""COMPUTED_VALUE"""),46084.0)</f>
        <v>46084</v>
      </c>
      <c r="B2" s="1" t="str">
        <f>IFERROR(__xludf.DUMMYFUNCTION("""COMPUTED_VALUE"""),"Marcela")</f>
        <v>Marcela</v>
      </c>
      <c r="C2" s="1" t="str">
        <f>IFERROR(__xludf.DUMMYFUNCTION("""COMPUTED_VALUE"""),"herrera")</f>
        <v>herrera</v>
      </c>
      <c r="D2" s="1" t="str">
        <f>IFERROR(__xludf.DUMMYFUNCTION("""COMPUTED_VALUE"""),"mherrera@escencialconsult.com.ar")</f>
        <v>mherrera@escencialconsult.com.ar</v>
      </c>
      <c r="E2" s="4" t="str">
        <f>IFERROR(__xludf.DUMMYFUNCTION("""COMPUTED_VALUE"""),"SI,NO,SI,NO,SI,NO,SI,NO,SI,NO,SI,NO,SI,NO,SI,NO,NO,SI,NO,SI,NO,NO,SI,NO,NO,SI,SI,NO,SI,NO,NO,SI,NO,SI,SI,SI,NO,SI,NO,SI,NO,SI,SI,NO,SI,NO,SI,NO,SI,NO,SI,NO,SI,NO,SI,NO,SI,NO,SI,NO,SI,NO,SI,NO,SI,NO,SI,NO,SI,NO,SI,NO,SI,NO,SI,NO,SI,NO,NO,SI,NO,SI,SI,NO,SI,"&amp;"NO,SI,NO,SI,NO,SI,NO,NO,SI,SI,NO,NO,SI")</f>
        <v>SI,NO,SI,NO,SI,NO,SI,NO,SI,NO,SI,NO,SI,NO,SI,NO,NO,SI,NO,SI,NO,NO,SI,NO,NO,SI,SI,NO,SI,NO,NO,SI,NO,SI,SI,SI,NO,SI,NO,SI,NO,SI,SI,NO,SI,NO,SI,NO,SI,NO,SI,NO,SI,NO,SI,NO,SI,NO,SI,NO,SI,NO,SI,NO,SI,NO,SI,NO,SI,NO,SI,NO,SI,NO,SI,NO,SI,NO,NO,SI,NO,SI,SI,NO,SI,NO,SI,NO,SI,NO,SI,NO,NO,SI,SI,NO,NO,SI</v>
      </c>
      <c r="F2" s="2" t="s">
        <v>2</v>
      </c>
      <c r="G2" s="2" t="s">
        <v>3</v>
      </c>
    </row>
    <row r="3">
      <c r="A3" s="3">
        <f>IFERROR(__xludf.DUMMYFUNCTION("""COMPUTED_VALUE"""),46085.0)</f>
        <v>46085</v>
      </c>
      <c r="B3" s="1" t="str">
        <f>IFERROR(__xludf.DUMMYFUNCTION("""COMPUTED_VALUE"""),"Milenka")</f>
        <v>Milenka</v>
      </c>
      <c r="C3" s="1" t="str">
        <f>IFERROR(__xludf.DUMMYFUNCTION("""COMPUTED_VALUE"""),"Rojas")</f>
        <v>Rojas</v>
      </c>
      <c r="D3" s="1" t="str">
        <f>IFERROR(__xludf.DUMMYFUNCTION("""COMPUTED_VALUE"""),"mrojasgarnica1@gmail.com")</f>
        <v>mrojasgarnica1@gmail.com</v>
      </c>
      <c r="E3" s="4" t="str">
        <f>IFERROR(__xludf.DUMMYFUNCTION("""COMPUTED_VALUE"""),"SI,NO,SI,NO,SI,NO,SI,NO,SI,SI,NO,NO,SI,SI,SI,NO,SI,NO,SI,SI,SI,NO,NO,SI,NO,SI,SI,NO,SI,NO,SI,SI,NO,NO,SI,NO,NO,NO,SI,NO,NO,SI,SI,NO,SI,SI,NO,SI,NO,NO,SI,SI,NO,SI,SI,NO,SI,NO,SI,SI,NO,SI,SI,SI,NO,SI,SI,NO,NO,SI,SI,NO,SI,SI,NO,NO,SI,NO,NO,NO,SI,SI,SI,NO,SI,"&amp;"SI,NO,SI,NO,SI,NO,NO,SI,SI,SI,NO,SI,SI")</f>
        <v>SI,NO,SI,NO,SI,NO,SI,NO,SI,SI,NO,NO,SI,SI,SI,NO,SI,NO,SI,SI,SI,NO,NO,SI,NO,SI,SI,NO,SI,NO,SI,SI,NO,NO,SI,NO,NO,NO,SI,NO,NO,SI,SI,NO,SI,SI,NO,SI,NO,NO,SI,SI,NO,SI,SI,NO,SI,NO,SI,SI,NO,SI,SI,SI,NO,SI,SI,NO,NO,SI,SI,NO,SI,SI,NO,NO,SI,NO,NO,NO,SI,SI,SI,NO,SI,SI,NO,SI,NO,SI,NO,NO,SI,SI,SI,NO,SI,SI</v>
      </c>
      <c r="F3" s="2" t="s">
        <v>4</v>
      </c>
      <c r="G3" s="2" t="s">
        <v>3</v>
      </c>
    </row>
    <row r="4">
      <c r="A4" s="3">
        <f>IFERROR(__xludf.DUMMYFUNCTION("""COMPUTED_VALUE"""),46086.0)</f>
        <v>46086</v>
      </c>
      <c r="B4" s="1" t="str">
        <f>IFERROR(__xludf.DUMMYFUNCTION("""COMPUTED_VALUE"""),"Milenka")</f>
        <v>Milenka</v>
      </c>
      <c r="C4" s="1" t="str">
        <f>IFERROR(__xludf.DUMMYFUNCTION("""COMPUTED_VALUE"""),"Rojas")</f>
        <v>Rojas</v>
      </c>
      <c r="D4" s="1" t="str">
        <f>IFERROR(__xludf.DUMMYFUNCTION("""COMPUTED_VALUE"""),"escencialconsult@gmail.com")</f>
        <v>escencialconsult@gmail.com</v>
      </c>
      <c r="E4" s="1" t="str">
        <f>IFERROR(__xludf.DUMMYFUNCTION("""COMPUTED_VALUE"""),"SI,NO,SI,NO,SI,SI,NO,SI,NO,SI,SI,NO,SI,NO,SI,SI,NO,SI,NO,NO,NO,NO,SI,SI,SI,NO,NO,NO,NO,SI,SI,SI,NO,NO,NO,SI,SI,SI,NO,SI,NO,NO,SI,NO,SI,SI,NO,NO,NO,SI,SI,NO,SI,NO,SI,NO,NO,NO,SI,SI,SI,SI,NO,SI,NO,SI,NO,SI,SI,NO,SI,NO,SI,NO,SI,NO,SI,NO,SI,SI,SI,NO,SI,NO,SI,"&amp;"NO,SI,SI,NO,SI,SI,NO,NO,SI,SI,NO,NO,SI")</f>
        <v>SI,NO,SI,NO,SI,SI,NO,SI,NO,SI,SI,NO,SI,NO,SI,SI,NO,SI,NO,NO,NO,NO,SI,SI,SI,NO,NO,NO,NO,SI,SI,SI,NO,NO,NO,SI,SI,SI,NO,SI,NO,NO,SI,NO,SI,SI,NO,NO,NO,SI,SI,NO,SI,NO,SI,NO,NO,NO,SI,SI,SI,SI,NO,SI,NO,SI,NO,SI,SI,NO,SI,NO,SI,NO,SI,NO,SI,NO,SI,SI,SI,NO,SI,NO,SI,NO,SI,SI,NO,SI,SI,NO,NO,SI,SI,NO,NO,SI</v>
      </c>
      <c r="F4" s="2" t="s">
        <v>5</v>
      </c>
      <c r="G4" s="2" t="s">
        <v>3</v>
      </c>
    </row>
    <row r="5">
      <c r="A5" s="3">
        <f>IFERROR(__xludf.DUMMYFUNCTION("""COMPUTED_VALUE"""),46106.0)</f>
        <v>46106</v>
      </c>
      <c r="B5" s="1" t="str">
        <f>IFERROR(__xludf.DUMMYFUNCTION("""COMPUTED_VALUE"""),"catalina")</f>
        <v>catalina</v>
      </c>
      <c r="C5" s="1" t="str">
        <f>IFERROR(__xludf.DUMMYFUNCTION("""COMPUTED_VALUE"""),"lucca")</f>
        <v>lucca</v>
      </c>
      <c r="D5" s="1" t="str">
        <f>IFERROR(__xludf.DUMMYFUNCTION("""COMPUTED_VALUE"""),"cgomez@escencialconsult.com.ar")</f>
        <v>cgomez@escencialconsult.com.ar</v>
      </c>
      <c r="E5" s="1" t="str">
        <f>IFERROR(__xludf.DUMMYFUNCTION("""COMPUTED_VALUE"""),"SI,SI,NO,SI,NO,SI,NO,NO,SI,SI,NO,SI,NO,SI,SI,NO,SI,NO,SI,NO,SI,NO,SI,SI,NO,NO,NO,SI,SI,SI,NO,NO,SI,SI,NO,SI,NO,NO,NO,SI,SI,SI,SI,NO,SI,NO,SI,NO,SI,SI,NO,NO,SI,SI,SI,NO,SI,NO,SI,NO,SI,NO,SI,SI,SI,NO,NO,NO,NO,SI,SI,NO,SI,NO,SI,NO,SI,SI,SI,SI,SI,SI,SI,NO,NO,"&amp;"NO,SI,SI,NO,NO,SI,SI,SI,SI,NO,NO,NO,NO")</f>
        <v>SI,SI,NO,SI,NO,SI,NO,NO,SI,SI,NO,SI,NO,SI,SI,NO,SI,NO,SI,NO,SI,NO,SI,SI,NO,NO,NO,SI,SI,SI,NO,NO,SI,SI,NO,SI,NO,NO,NO,SI,SI,SI,SI,NO,SI,NO,SI,NO,SI,SI,NO,NO,SI,SI,SI,NO,SI,NO,SI,NO,SI,NO,SI,SI,SI,NO,NO,NO,NO,SI,SI,NO,SI,NO,SI,NO,SI,SI,SI,SI,SI,SI,SI,NO,NO,NO,SI,SI,NO,NO,SI,SI,SI,SI,NO,NO,NO,NO</v>
      </c>
      <c r="F5" s="2" t="s">
        <v>6</v>
      </c>
      <c r="G5" s="2" t="s">
        <v>3</v>
      </c>
    </row>
    <row r="6">
      <c r="A6" s="3">
        <f>IFERROR(__xludf.DUMMYFUNCTION("""COMPUTED_VALUE"""),46106.0)</f>
        <v>46106</v>
      </c>
      <c r="B6" s="1" t="str">
        <f>IFERROR(__xludf.DUMMYFUNCTION("""COMPUTED_VALUE"""),"Felipe Eduardo")</f>
        <v>Felipe Eduardo</v>
      </c>
      <c r="C6" s="1" t="str">
        <f>IFERROR(__xludf.DUMMYFUNCTION("""COMPUTED_VALUE"""),"Castro Campos")</f>
        <v>Castro Campos</v>
      </c>
      <c r="D6" s="1" t="str">
        <f>IFERROR(__xludf.DUMMYFUNCTION("""COMPUTED_VALUE"""),"feli270208@gmail.com")</f>
        <v>feli270208@gmail.com</v>
      </c>
      <c r="E6" s="1" t="str">
        <f>IFERROR(__xludf.DUMMYFUNCTION("""COMPUTED_VALUE"""),"NO,NO,NO,SI,NO,NO,NO,NO,SI,SI,SI,NO,SI,NO,NO,NO,NO,SI,NO,NO,SI,SI,NO,NO,NO,NO,NO,NO,NO,SI,SI,SI,NO,NO,SI,SI,NO,SI,NO,SI,NO,SI,NO,SI,NO,SI,SI,NO,NO,SI,NO,SI,NO,NO,SI,NO,SI,SI,SI,NO,SI,NO,SI,NO,NO,SI,SI,SI,SI,NO,SI,NO,SI,SI,NO,NO,SI,NO,SI,NO,NO,NO,SI,NO,NO,"&amp;"NO,NO,SI,SI,SI,NO,NO,SI,NO,NO,SI,SI,NO")</f>
        <v>NO,NO,NO,SI,NO,NO,NO,NO,SI,SI,SI,NO,SI,NO,NO,NO,NO,SI,NO,NO,SI,SI,NO,NO,NO,NO,NO,NO,NO,SI,SI,SI,NO,NO,SI,SI,NO,SI,NO,SI,NO,SI,NO,SI,NO,SI,SI,NO,NO,SI,NO,SI,NO,NO,SI,NO,SI,SI,SI,NO,SI,NO,SI,NO,NO,SI,SI,SI,SI,NO,SI,NO,SI,SI,NO,NO,SI,NO,SI,NO,NO,NO,SI,NO,NO,NO,NO,SI,SI,SI,NO,NO,SI,NO,NO,SI,SI,NO</v>
      </c>
      <c r="F6" s="2" t="s">
        <v>7</v>
      </c>
      <c r="G6" s="2" t="s">
        <v>3</v>
      </c>
    </row>
    <row r="7">
      <c r="A7" s="3">
        <f>IFERROR(__xludf.DUMMYFUNCTION("""COMPUTED_VALUE"""),46108.0)</f>
        <v>46108</v>
      </c>
      <c r="B7" s="1" t="str">
        <f>IFERROR(__xludf.DUMMYFUNCTION("""COMPUTED_VALUE"""),"Leonardo Exequiel")</f>
        <v>Leonardo Exequiel</v>
      </c>
      <c r="C7" s="1" t="str">
        <f>IFERROR(__xludf.DUMMYFUNCTION("""COMPUTED_VALUE"""),"Negri")</f>
        <v>Negri</v>
      </c>
      <c r="D7" s="1" t="str">
        <f>IFERROR(__xludf.DUMMYFUNCTION("""COMPUTED_VALUE"""),"leonardoexequielnegri@gmail.com")</f>
        <v>leonardoexequielnegri@gmail.com</v>
      </c>
      <c r="E7" s="1" t="str">
        <f>IFERROR(__xludf.DUMMYFUNCTION("""COMPUTED_VALUE"""),"NO,SI,NO,SI,SI,SI,SI,SI,NO,NO,SI,SI,NO,NO,SI,NO,NO,NO,NO,NO,NO,SI,NO,NO,NO,NO,NO,NO,NO,SI,SI,NO,NO,NO,NO,NO,SI,NO,SI,NO,NO,NO,SI,SI,NO,NO,SI,SI,SI,NO,SI,NO,SI,NO,NO,SI,SI,SI,NO,SI,SI,NO,NO,NO,NO,SI,NO,SI,SI,NO,NO,SI,SI,NO,SI,NO,NO,SI,NO,SI,NO,NO,SI,NO,SI,"&amp;"SI,NO,SI,SI,SI,NO,SI,NO,NO,NO,SI,SI,NO")</f>
        <v>NO,SI,NO,SI,SI,SI,SI,SI,NO,NO,SI,SI,NO,NO,SI,NO,NO,NO,NO,NO,NO,SI,NO,NO,NO,NO,NO,NO,NO,SI,SI,NO,NO,NO,NO,NO,SI,NO,SI,NO,NO,NO,SI,SI,NO,NO,SI,SI,SI,NO,SI,NO,SI,NO,NO,SI,SI,SI,NO,SI,SI,NO,NO,NO,NO,SI,NO,SI,SI,NO,NO,SI,SI,NO,SI,NO,NO,SI,NO,SI,NO,NO,SI,NO,SI,SI,NO,SI,SI,SI,NO,SI,NO,NO,NO,SI,SI,NO</v>
      </c>
      <c r="F7" s="2" t="s">
        <v>8</v>
      </c>
      <c r="G7" s="2" t="s">
        <v>3</v>
      </c>
    </row>
    <row r="8">
      <c r="A8" s="3">
        <f>IFERROR(__xludf.DUMMYFUNCTION("""COMPUTED_VALUE"""),46108.0)</f>
        <v>46108</v>
      </c>
      <c r="B8" s="1" t="str">
        <f>IFERROR(__xludf.DUMMYFUNCTION("""COMPUTED_VALUE"""),"ismael")</f>
        <v>ismael</v>
      </c>
      <c r="C8" s="1" t="str">
        <f>IFERROR(__xludf.DUMMYFUNCTION("""COMPUTED_VALUE"""),"Morales")</f>
        <v>Morales</v>
      </c>
      <c r="D8" s="1" t="str">
        <f>IFERROR(__xludf.DUMMYFUNCTION("""COMPUTED_VALUE"""),"ismaelmorales472@gmail.com")</f>
        <v>ismaelmorales472@gmail.com</v>
      </c>
      <c r="E8" s="1" t="str">
        <f>IFERROR(__xludf.DUMMYFUNCTION("""COMPUTED_VALUE"""),"NO,NO,NO,SI,NO,SI,NO,SI,SI,SI,NO,SI,NO,NO,SI,SI,NO,SI,SI,SI,NO,SI,NO,NO,NO,SI,NO,NO,SI,SI,SI,NO,NO,NO,NO,NO,SI,SI,SI,NO,NO,NO,SI,NO,SI,SI,NO,SI,NO,NO,NO,NO,SI,NO,SI,NO,NO,NO,SI,NO,NO,NO,SI,NO,NO,NO,NO,NO,SI,NO,SI,SI,SI,NO,NO,NO,NO,SI,SI,NO,NO,NO,SI,SI,NO,"&amp;"NO,NO,SI,SI,SI,NO,NO,NO,SI,NO,SI,NO,SI")</f>
        <v>NO,NO,NO,SI,NO,SI,NO,SI,SI,SI,NO,SI,NO,NO,SI,SI,NO,SI,SI,SI,NO,SI,NO,NO,NO,SI,NO,NO,SI,SI,SI,NO,NO,NO,NO,NO,SI,SI,SI,NO,NO,NO,SI,NO,SI,SI,NO,SI,NO,NO,NO,NO,SI,NO,SI,NO,NO,NO,SI,NO,NO,NO,SI,NO,NO,NO,NO,NO,SI,NO,SI,SI,SI,NO,NO,NO,NO,SI,SI,NO,NO,NO,SI,SI,NO,NO,NO,SI,SI,SI,NO,NO,NO,SI,NO,SI,NO,SI</v>
      </c>
      <c r="F8" s="2" t="s">
        <v>9</v>
      </c>
      <c r="G8" s="2" t="s">
        <v>3</v>
      </c>
    </row>
    <row r="9">
      <c r="A9" s="3">
        <f>IFERROR(__xludf.DUMMYFUNCTION("""COMPUTED_VALUE"""),46109.0)</f>
        <v>46109</v>
      </c>
      <c r="B9" s="1" t="str">
        <f>IFERROR(__xludf.DUMMYFUNCTION("""COMPUTED_VALUE"""),"Lautaro")</f>
        <v>Lautaro</v>
      </c>
      <c r="C9" s="1" t="str">
        <f>IFERROR(__xludf.DUMMYFUNCTION("""COMPUTED_VALUE"""),"Negri")</f>
        <v>Negri</v>
      </c>
      <c r="D9" s="1" t="str">
        <f>IFERROR(__xludf.DUMMYFUNCTION("""COMPUTED_VALUE"""),"marianadvf9@gmail.com")</f>
        <v>marianadvf9@gmail.com</v>
      </c>
      <c r="E9" s="1" t="str">
        <f>IFERROR(__xludf.DUMMYFUNCTION("""COMPUTED_VALUE"""),"NO,SI,SI,SI,NO,SI,NO,SI,NO,NO,NO,NO,NO,SI,SI,SI,NO,SI,SI,SI,SI,NO,NO,NO,SI,NO,NO,NO,NO,SI,SI,NO,NO,NO,NO,SI,SI,NO,SI,NO,NO,NO,NO,SI,SI,SI,SI,SI,SI,SI,SI,NO,SI,SI,SI,NO,NO,SI,SI,SI,NO,NO,SI,NO,SI,NO,SI,SI,SI,NO,SI,NO,SI,SI,NO,SI,SI,SI,SI,NO,NO,NO,SI,SI,SI,"&amp;"NO,NO,SI,NO,SI,SI,NO,SI,NO,NO,SI,SI,SI")</f>
        <v>NO,SI,SI,SI,NO,SI,NO,SI,NO,NO,NO,NO,NO,SI,SI,SI,NO,SI,SI,SI,SI,NO,NO,NO,SI,NO,NO,NO,NO,SI,SI,NO,NO,NO,NO,SI,SI,NO,SI,NO,NO,NO,NO,SI,SI,SI,SI,SI,SI,SI,SI,NO,SI,SI,SI,NO,NO,SI,SI,SI,NO,NO,SI,NO,SI,NO,SI,SI,SI,NO,SI,NO,SI,SI,NO,SI,SI,SI,SI,NO,NO,NO,SI,SI,SI,NO,NO,SI,NO,SI,SI,NO,SI,NO,NO,SI,SI,SI</v>
      </c>
      <c r="F9" s="2" t="s">
        <v>10</v>
      </c>
      <c r="G9" s="2" t="s">
        <v>3</v>
      </c>
    </row>
    <row r="10">
      <c r="A10" s="3">
        <f>IFERROR(__xludf.DUMMYFUNCTION("""COMPUTED_VALUE"""),46109.0)</f>
        <v>46109</v>
      </c>
      <c r="B10" s="1" t="str">
        <f>IFERROR(__xludf.DUMMYFUNCTION("""COMPUTED_VALUE"""),"Joaquín")</f>
        <v>Joaquín</v>
      </c>
      <c r="C10" s="1" t="str">
        <f>IFERROR(__xludf.DUMMYFUNCTION("""COMPUTED_VALUE"""),"Revilla")</f>
        <v>Revilla</v>
      </c>
      <c r="D10" s="1" t="str">
        <f>IFERROR(__xludf.DUMMYFUNCTION("""COMPUTED_VALUE"""),"joaquinrevilla5ti@gmail.com")</f>
        <v>joaquinrevilla5ti@gmail.com</v>
      </c>
      <c r="E10" s="1" t="str">
        <f>IFERROR(__xludf.DUMMYFUNCTION("""COMPUTED_VALUE"""),"SI,NO,NO,NO,NO,NO,NO,SI,SI,SI,NO,SI,NO,NO,NO,NO,NO,NO,SI,NO,NO,SI,NO,NO,SI,SI,SI,NO,SI,SI,SI,NO,NO,NO,NO,SI,NO,NO,NO,SI,NO,NO,NO,SI,SI,SI,SI,NO,NO,SI,NO,NO,NO,NO,NO,SI,SI,SI,NO,NO,NO,SI,NO,SI,NO,NO,SI,SI,SI,NO,NO,NO,NO,NO,NO,SI,SI,NO,NO,SI,SI,SI,NO,NO,NO,"&amp;"SI,SI,NO,SI,SI,NO,SI,NO,SI,SI,SI,NO,NO")</f>
        <v>SI,NO,NO,NO,NO,NO,NO,SI,SI,SI,NO,SI,NO,NO,NO,NO,NO,NO,SI,NO,NO,SI,NO,NO,SI,SI,SI,NO,SI,SI,SI,NO,NO,NO,NO,SI,NO,NO,NO,SI,NO,NO,NO,SI,SI,SI,SI,NO,NO,SI,NO,NO,NO,NO,NO,SI,SI,SI,NO,NO,NO,SI,NO,SI,NO,NO,SI,SI,SI,NO,NO,NO,NO,NO,NO,SI,SI,NO,NO,SI,SI,SI,NO,NO,NO,SI,SI,NO,SI,SI,NO,SI,NO,SI,SI,SI,NO,NO</v>
      </c>
      <c r="F10" s="2" t="s">
        <v>11</v>
      </c>
      <c r="G10" s="2" t="s">
        <v>3</v>
      </c>
    </row>
    <row r="11">
      <c r="A11" s="3">
        <f>IFERROR(__xludf.DUMMYFUNCTION("""COMPUTED_VALUE"""),46111.0)</f>
        <v>46111</v>
      </c>
      <c r="B11" s="1" t="str">
        <f>IFERROR(__xludf.DUMMYFUNCTION("""COMPUTED_VALUE"""),"Maia")</f>
        <v>Maia</v>
      </c>
      <c r="C11" s="1" t="str">
        <f>IFERROR(__xludf.DUMMYFUNCTION("""COMPUTED_VALUE"""),"Rivero")</f>
        <v>Rivero</v>
      </c>
      <c r="D11" s="1" t="str">
        <f>IFERROR(__xludf.DUMMYFUNCTION("""COMPUTED_VALUE"""),"maiiazoee@gmail.com")</f>
        <v>maiiazoee@gmail.com</v>
      </c>
      <c r="E11" s="1" t="str">
        <f>IFERROR(__xludf.DUMMYFUNCTION("""COMPUTED_VALUE"""),"NO,SI,SI,SI,SI,NO,SI,SI,SI,SI,SI,NO,SI,SI,SI,NO,NO,NO,SI,SI,SI,SI,NO,SI,SI,NO,SI,NO,NO,SI,SI,NO,NO,NO,NO,SI,SI,NO,SI,SI,NO,NO,NO,SI,NO,SI,SI,NO,NO,SI,SI,NO,NO,SI,NO,NO,NO,SI,SI,NO,NO,NO,NO,NO,NO,NO,SI,SI,SI,NO,SI,NO,NO,SI,NO,SI,NO,SI,SI,NO,NO,NO,NO,NO,NO,"&amp;"SI,NO,SI,NO,SI,SI,NO,NO,NO,NO,SI,SI,NO")</f>
        <v>NO,SI,SI,SI,SI,NO,SI,SI,SI,SI,SI,NO,SI,SI,SI,NO,NO,NO,SI,SI,SI,SI,NO,SI,SI,NO,SI,NO,NO,SI,SI,NO,NO,NO,NO,SI,SI,NO,SI,SI,NO,NO,NO,SI,NO,SI,SI,NO,NO,SI,SI,NO,NO,SI,NO,NO,NO,SI,SI,NO,NO,NO,NO,NO,NO,NO,SI,SI,SI,NO,SI,NO,NO,SI,NO,SI,NO,SI,SI,NO,NO,NO,NO,NO,NO,SI,NO,SI,NO,SI,SI,NO,NO,NO,NO,SI,SI,NO</v>
      </c>
      <c r="F11" s="2" t="s">
        <v>12</v>
      </c>
      <c r="G11" s="2" t="s">
        <v>3</v>
      </c>
    </row>
    <row r="12">
      <c r="A12" s="3">
        <f>IFERROR(__xludf.DUMMYFUNCTION("""COMPUTED_VALUE"""),46161.0)</f>
        <v>46161</v>
      </c>
      <c r="B12" s="1" t="str">
        <f>IFERROR(__xludf.DUMMYFUNCTION("""COMPUTED_VALUE"""),"Marcela")</f>
        <v>Marcela</v>
      </c>
      <c r="C12" s="1" t="str">
        <f>IFERROR(__xludf.DUMMYFUNCTION("""COMPUTED_VALUE"""),"Herrera")</f>
        <v>Herrera</v>
      </c>
      <c r="D12" s="1" t="str">
        <f>IFERROR(__xludf.DUMMYFUNCTION("""COMPUTED_VALUE"""),"mherrera@escencialconsult.com.ar")</f>
        <v>mherrera@escencialconsult.com.ar</v>
      </c>
      <c r="E12" s="1" t="str">
        <f>IFERROR(__xludf.DUMMYFUNCTION("""COMPUTED_VALUE"""),"SI,NO,SI,NO,SI,NO,SI,NO,SI,NO,SI,NO,SI,NO,SI,NO,SI,NO,SI,NO,SI,NO,SI,NO,SI,NO,SI,NO,SI,NO,SI,NO,SI,NO,SI,NO,SI,NO,SI,NO,SI,NO,SI,NO,SI,NO,SI,NO,SI,NO,SI,NO,SI,NO,SI,NO,SI,NO,SI,NO,SI,NO,SI,NO,SI,NO,SI,NO,SI,NO,SI,NO,SI,NO,SI,NO,SI,NO,SI,NO,SI,NO,SI,NO,SI,"&amp;"NO,SI,NO,SI,NO,SI,NO,SI,NO,SI,NO,SI,NO")</f>
        <v>SI,NO,SI,NO,SI,NO,SI,NO,SI,NO,SI,NO,SI,NO,SI,NO,SI,NO,SI,NO,SI,NO,SI,NO,SI,NO,SI,NO,SI,NO,SI,NO,SI,NO,SI,NO,SI,NO,SI,NO,SI,NO,SI,NO,SI,NO,SI,NO,SI,NO,SI,NO,SI,NO,SI,NO,SI,NO,SI,NO,SI,NO,SI,NO,SI,NO,SI,NO,SI,NO,SI,NO,SI,NO,SI,NO,SI,NO,SI,NO,SI,NO,SI,NO,SI,NO,SI,NO,SI,NO,SI,NO,SI,NO,SI,NO,SI,NO</v>
      </c>
      <c r="F12" s="2" t="s">
        <v>13</v>
      </c>
      <c r="G12" s="2" t="s">
        <v>3</v>
      </c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